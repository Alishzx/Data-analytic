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1D4FBF9F-032D-44B5-B697-B9485EF80B26}" xr6:coauthVersionLast="47" xr6:coauthVersionMax="47" xr10:uidLastSave="{00000000-0000-0000-0000-000000000000}"/>
  <bookViews>
    <workbookView xWindow="-108" yWindow="-108" windowWidth="23256" windowHeight="12456" activeTab="3" xr2:uid="{53BFEA65-BDF4-4B45-A986-4B2E1BD4D651}"/>
  </bookViews>
  <sheets>
    <sheet name="3.1" sheetId="3" r:id="rId1"/>
    <sheet name="3.2" sheetId="4" r:id="rId2"/>
    <sheet name="3.3" sheetId="1" r:id="rId3"/>
    <sheet name="3.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" i="5"/>
  <c r="B19" i="5"/>
  <c r="B20" i="5"/>
  <c r="B21" i="5"/>
  <c r="B18" i="5"/>
  <c r="G2" i="5"/>
  <c r="F2" i="5"/>
  <c r="F6" i="1"/>
  <c r="F8" i="1"/>
  <c r="F7" i="1"/>
  <c r="F4" i="1"/>
  <c r="F5" i="1"/>
  <c r="F3" i="1"/>
  <c r="F2" i="1"/>
  <c r="E4" i="4"/>
  <c r="E5" i="4"/>
  <c r="E6" i="4"/>
  <c r="E7" i="4"/>
  <c r="E3" i="4"/>
  <c r="D4" i="4"/>
  <c r="D5" i="4"/>
  <c r="D6" i="4"/>
  <c r="D7" i="4"/>
  <c r="D3" i="4"/>
  <c r="F2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E22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4" i="3"/>
  <c r="D22" i="3"/>
  <c r="C22" i="3"/>
  <c r="B22" i="3"/>
  <c r="D5" i="3"/>
  <c r="D6" i="3"/>
  <c r="D7" i="3"/>
  <c r="D8" i="3"/>
  <c r="D9" i="3"/>
  <c r="D4" i="3"/>
  <c r="C11" i="3"/>
  <c r="C12" i="3"/>
  <c r="C13" i="3"/>
  <c r="C14" i="3"/>
  <c r="C15" i="3"/>
  <c r="C10" i="3"/>
  <c r="B19" i="3"/>
  <c r="B21" i="3"/>
  <c r="B17" i="3"/>
  <c r="B18" i="3"/>
  <c r="B20" i="3"/>
  <c r="B16" i="3"/>
  <c r="D3" i="3" l="1"/>
  <c r="D2" i="3"/>
</calcChain>
</file>

<file path=xl/sharedStrings.xml><?xml version="1.0" encoding="utf-8"?>
<sst xmlns="http://schemas.openxmlformats.org/spreadsheetml/2006/main" count="79" uniqueCount="57">
  <si>
    <t>Дата</t>
  </si>
  <si>
    <t>Средняя температура ночью</t>
  </si>
  <si>
    <t>Максимальная температура днём</t>
  </si>
  <si>
    <t>Средняя температура днём</t>
  </si>
  <si>
    <t>Максимальная температура ночью</t>
  </si>
  <si>
    <t>Минимальная температура ночью</t>
  </si>
  <si>
    <t>Минимальная температура днём</t>
  </si>
  <si>
    <t>Количество дней наблюдений</t>
  </si>
  <si>
    <t>Показатель</t>
  </si>
  <si>
    <t>Значение, C°</t>
  </si>
  <si>
    <t>Республика Казахстан</t>
  </si>
  <si>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</si>
  <si>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</si>
  <si>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</si>
  <si>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</si>
  <si>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</si>
  <si>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</si>
  <si>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</si>
  <si>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Жетісу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</si>
  <si>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</si>
  <si>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</si>
  <si>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</si>
  <si>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</si>
  <si>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</si>
  <si>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</si>
  <si>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</si>
  <si>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Ұлытау</t>
  </si>
  <si>
    <t>Восточно-Казахстанская</t>
  </si>
  <si>
    <t>г.Астана</t>
  </si>
  <si>
    <t>г.Алматы</t>
  </si>
  <si>
    <t>г.Шымкент</t>
  </si>
  <si>
    <t>Скидка</t>
  </si>
  <si>
    <t>Доля женского населения</t>
  </si>
  <si>
    <t>Доля мужского населения</t>
  </si>
  <si>
    <t>Название</t>
  </si>
  <si>
    <t>Всего пачек</t>
  </si>
  <si>
    <t>Бумага марки "Идея"</t>
  </si>
  <si>
    <t>Бумага марки "Вдохновение"</t>
  </si>
  <si>
    <t>Бумага марки "Эффект"</t>
  </si>
  <si>
    <t>Бумага марки "Премиум"</t>
  </si>
  <si>
    <t>Бумага марки "Стандарт"</t>
  </si>
  <si>
    <t>Бумага марки "Эко-лист"</t>
  </si>
  <si>
    <t>Административная единица</t>
  </si>
  <si>
    <t>Численность мужского населения</t>
  </si>
  <si>
    <t>Численность женского населения</t>
  </si>
  <si>
    <t>Общая численность населения</t>
  </si>
  <si>
    <t>Цена 1 пачки, ₸</t>
  </si>
  <si>
    <t>Общая стоимость
с учётом скидки, ₸</t>
  </si>
  <si>
    <t>Размер скидки
 за 1 пачку, ₸</t>
  </si>
  <si>
    <t>Дневная температура
в Астане, C°</t>
  </si>
  <si>
    <t>Численность населения 
в возрасте 
16-60 лет</t>
  </si>
  <si>
    <t>Численность населения 
в возрасте 
0-15 лет</t>
  </si>
  <si>
    <t>Численность населения 
в возрасте старше 61 года</t>
  </si>
  <si>
    <t>Доля населения 
в возрасте 
0-15 лет</t>
  </si>
  <si>
    <t>Доля населения 
в возрасте 
16-60 лет</t>
  </si>
  <si>
    <t>Доля населения 
в возрасте старше 61 года</t>
  </si>
  <si>
    <t>Ночная температура
в Астане, C°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</si>
</sst>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%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8"/>
      <name val="Arial Cyr"/>
      <charset val="204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2" fillId="0" borderId="0"/>
  </cellStyleXfs>
  <cellXfs count="26">
    <xf numFmtId="0" fontId="0" fillId="0" borderId="0" xfId="0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/>
    <xf numFmtId="3" fontId="0" fillId="3" borderId="1" xfId="0" applyNumberFormat="1" applyFill="1" applyBorder="1"/>
    <xf numFmtId="165" fontId="0" fillId="4" borderId="1" xfId="1" applyNumberFormat="1" applyFont="1" applyFill="1" applyBorder="1"/>
    <xf numFmtId="3" fontId="0" fillId="0" borderId="1" xfId="0" applyNumberFormat="1" applyBorder="1"/>
    <xf numFmtId="165" fontId="0" fillId="3" borderId="1" xfId="1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0" fillId="0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9" fontId="0" fillId="0" borderId="1" xfId="1" applyFont="1" applyBorder="1"/>
    <xf numFmtId="0" fontId="1" fillId="2" borderId="1" xfId="0" applyFont="1" applyFill="1" applyBorder="1" applyAlignment="1">
      <alignment horizontal="left"/>
    </xf>
    <xf numFmtId="4" fontId="0" fillId="4" borderId="1" xfId="0" applyNumberFormat="1" applyFill="1" applyBorder="1"/>
    <xf numFmtId="4" fontId="0" fillId="3" borderId="1" xfId="0" applyNumberFormat="1" applyFill="1" applyBorder="1"/>
    <xf numFmtId="4" fontId="0" fillId="0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1" fontId="0" fillId="3" borderId="1" xfId="0" applyNumberFormat="1" applyFill="1" applyBorder="1"/>
    <xf numFmtId="165" fontId="0" fillId="0" borderId="1" xfId="1" applyNumberFormat="1" applyFont="1" applyBorder="1"/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0" fillId="0" borderId="0" xfId="0" applyNumberFormat="1"/>
  </cellXfs>
  <cellStyles count="6">
    <cellStyle name="Обычный" xfId="0" builtinId="0"/>
    <cellStyle name="Обычный 2" xfId="4" xr:uid="{7BD46FB3-62B4-4DC6-B7F0-022DCE249A19}"/>
    <cellStyle name="Обычный 3" xfId="5" xr:uid="{C53750FD-B248-4E99-8DA3-E2ED01A5EF77}"/>
    <cellStyle name="Обычный 4" xfId="3" xr:uid="{2E39C275-C142-4928-A67B-BF4718DB6DBE}"/>
    <cellStyle name="Обычный 5" xfId="2" xr:uid="{2B024281-6913-4EB4-BD98-228DC7538E87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</xdr:rowOff>
    </xdr:from>
    <xdr:to>
      <xdr:col>13</xdr:col>
      <xdr:colOff>600075</xdr:colOff>
      <xdr:row>11</xdr:row>
      <xdr:rowOff>66676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B4881F8B-E86F-44A8-8B4F-2CF841517DCF}"/>
            </a:ext>
          </a:extLst>
        </xdr:cNvPr>
        <xdr:cNvSpPr/>
      </xdr:nvSpPr>
      <xdr:spPr>
        <a:xfrm>
          <a:off x="7829550" y="1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Рассчитайте общую</a:t>
          </a:r>
          <a:r>
            <a:rPr lang="ru-RU" sz="1200" baseline="0"/>
            <a:t> численность населения</a:t>
          </a:r>
          <a:r>
            <a:rPr lang="ru-RU" sz="1200"/>
            <a:t> в каждой административной единице в диапазоне </a:t>
          </a:r>
          <a:r>
            <a:rPr lang="en-US" sz="1200"/>
            <a:t>D</a:t>
          </a:r>
          <a:r>
            <a:rPr lang="ru-RU" sz="1200"/>
            <a:t>4</a:t>
          </a:r>
          <a:r>
            <a:rPr lang="en-US" sz="1200"/>
            <a:t>:D</a:t>
          </a:r>
          <a:r>
            <a:rPr lang="ru-RU" sz="1200"/>
            <a:t>9.</a:t>
          </a:r>
        </a:p>
        <a:p>
          <a:pPr algn="l"/>
          <a:r>
            <a:rPr lang="ru-RU" sz="1200" baseline="0"/>
            <a:t>2. </a:t>
          </a:r>
          <a:r>
            <a:rPr lang="en-US" sz="1200" baseline="0"/>
            <a:t> </a:t>
          </a:r>
          <a:r>
            <a:rPr lang="ru-RU" sz="1200"/>
            <a:t>Рассчитайте численность женского населения в каждой административной единице в диапазоне </a:t>
          </a:r>
          <a:r>
            <a:rPr lang="en-US" sz="1200"/>
            <a:t>C</a:t>
          </a:r>
          <a:r>
            <a:rPr lang="ru-RU" sz="1200"/>
            <a:t>10</a:t>
          </a:r>
          <a:r>
            <a:rPr lang="en-US" sz="1200"/>
            <a:t>:C15.</a:t>
          </a:r>
        </a:p>
        <a:p>
          <a:pPr algn="l"/>
          <a:r>
            <a:rPr lang="en-US" sz="1200"/>
            <a:t>3.</a:t>
          </a:r>
          <a:r>
            <a:rPr lang="en-US" sz="1200" baseline="0"/>
            <a:t> </a:t>
          </a:r>
          <a:r>
            <a:rPr lang="ru-RU" sz="1200" baseline="0"/>
            <a:t>Рассчитайте численность мужского населения в каждой административной единице в диапазоне </a:t>
          </a:r>
          <a:r>
            <a:rPr lang="en-US" sz="1200" baseline="0"/>
            <a:t>B16:B21.</a:t>
          </a:r>
        </a:p>
        <a:p>
          <a:pPr algn="l"/>
          <a:r>
            <a:rPr lang="en-US" sz="1200"/>
            <a:t>4.</a:t>
          </a:r>
          <a:r>
            <a:rPr lang="en-US" sz="1200" baseline="0"/>
            <a:t> </a:t>
          </a:r>
          <a:r>
            <a:rPr lang="ru-RU" sz="1200" baseline="0"/>
            <a:t>Рассчитайте суммарную численность мужского</a:t>
          </a:r>
          <a:r>
            <a:rPr lang="en-US" sz="1200" baseline="0"/>
            <a:t> </a:t>
          </a:r>
          <a:r>
            <a:rPr lang="ru-RU" sz="1200" baseline="0"/>
            <a:t>населения, суммарную численность женского населения и общую численность населения Республики Казахстан при помощи функции в диапазоне </a:t>
          </a:r>
          <a:r>
            <a:rPr lang="en-US" sz="1200" baseline="0"/>
            <a:t>B22:D22.</a:t>
          </a:r>
        </a:p>
        <a:p>
          <a:pPr algn="l"/>
          <a:r>
            <a:rPr lang="en-US" sz="1200" baseline="0"/>
            <a:t>5.</a:t>
          </a:r>
          <a:r>
            <a:rPr lang="ru-RU" sz="1200" baseline="0"/>
            <a:t> Рассчитайте доли мужского и женского населения в общей численности в диапазоне </a:t>
          </a:r>
          <a:r>
            <a:rPr lang="en-US" sz="1200" baseline="0"/>
            <a:t>E4:F22.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0</xdr:row>
      <xdr:rowOff>0</xdr:rowOff>
    </xdr:from>
    <xdr:to>
      <xdr:col>13</xdr:col>
      <xdr:colOff>200025</xdr:colOff>
      <xdr:row>11</xdr:row>
      <xdr:rowOff>104775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8C855067-C0CB-478C-B409-6CAAB1A677CB}"/>
            </a:ext>
          </a:extLst>
        </xdr:cNvPr>
        <xdr:cNvSpPr/>
      </xdr:nvSpPr>
      <xdr:spPr>
        <a:xfrm>
          <a:off x="7372350" y="0"/>
          <a:ext cx="4524375" cy="24479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Рассчитайте размер скидки </a:t>
          </a:r>
          <a:r>
            <a:rPr lang="ru-RU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в ₸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/>
            <a:t>в расчёте на 1 пачку</a:t>
          </a:r>
          <a:r>
            <a:rPr lang="ru-RU" sz="1200" baseline="0"/>
            <a:t> в </a:t>
          </a:r>
          <a:br>
            <a:rPr lang="ru-RU" sz="1200" baseline="0"/>
          </a:br>
          <a:r>
            <a:rPr lang="ru-RU" sz="1200" baseline="0"/>
            <a:t>диапазоне </a:t>
          </a:r>
          <a:r>
            <a:rPr lang="en-US" sz="1200" baseline="0"/>
            <a:t>D3:D7</a:t>
          </a:r>
          <a:r>
            <a:rPr lang="ru-RU" sz="1200" baseline="0"/>
            <a:t>. Скидка в процентах указана в ячейке </a:t>
          </a:r>
          <a:r>
            <a:rPr lang="en-US" sz="1200" baseline="0"/>
            <a:t>B13.</a:t>
          </a:r>
        </a:p>
        <a:p>
          <a:pPr algn="l"/>
          <a:r>
            <a:rPr lang="en-US" sz="1200" baseline="0"/>
            <a:t>2.</a:t>
          </a:r>
          <a:r>
            <a:rPr lang="ru-RU" sz="1200" baseline="0"/>
            <a:t> Рассчитайте общую стоимость всех пачек с учётом скидки в диапазоне </a:t>
          </a:r>
          <a:r>
            <a:rPr lang="en-US" sz="1200" baseline="0"/>
            <a:t>E3:E7.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0</xdr:rowOff>
    </xdr:from>
    <xdr:to>
      <xdr:col>13</xdr:col>
      <xdr:colOff>542925</xdr:colOff>
      <xdr:row>9</xdr:row>
      <xdr:rowOff>95250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320C188-52BE-479C-9DE4-2499FEE45514}"/>
            </a:ext>
          </a:extLst>
        </xdr:cNvPr>
        <xdr:cNvSpPr/>
      </xdr:nvSpPr>
      <xdr:spPr>
        <a:xfrm>
          <a:off x="7667625" y="0"/>
          <a:ext cx="4524375" cy="21907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Рассчитайте значения в диапазоне </a:t>
          </a:r>
          <a:r>
            <a:rPr lang="en-US" sz="1200"/>
            <a:t>F1:F8</a:t>
          </a:r>
          <a:r>
            <a:rPr lang="ru-RU" sz="1200"/>
            <a:t> при помощи функций.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0</xdr:rowOff>
    </xdr:from>
    <xdr:to>
      <xdr:col>15</xdr:col>
      <xdr:colOff>371475</xdr:colOff>
      <xdr:row>11</xdr:row>
      <xdr:rowOff>95250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CDB5047-06CF-4658-84A7-7404C77F3441}"/>
            </a:ext>
          </a:extLst>
        </xdr:cNvPr>
        <xdr:cNvSpPr/>
      </xdr:nvSpPr>
      <xdr:spPr>
        <a:xfrm>
          <a:off x="8524875" y="0"/>
          <a:ext cx="4524375" cy="281940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Исправьте ошибки в вычислениях.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4837-A0B1-4C4F-818B-F6A487870CA2}">
  <dimension ref="A1:F22"/>
  <sheetViews>
    <sheetView workbookViewId="0">
      <selection activeCell="E6" sqref="E6"/>
    </sheetView>
  </sheetViews>
  <sheetFormatPr defaultRowHeight="14.4" x14ac:dyDescent="0.3"/>
  <cols>
    <col min="1" max="1" width="24.44140625" bestFit="1" customWidth="1"/>
    <col min="2" max="6" width="17.5546875" customWidth="1"/>
  </cols>
  <sheetData>
    <row r="1" spans="1:6" ht="53.25" customHeight="1" x14ac:dyDescent="0.3">
      <c r="A1" s="5" t="s">
        <v>42</v>
      </c>
      <c r="B1" s="5" t="s">
        <v>43</v>
      </c>
      <c r="C1" s="5" t="s">
        <v>44</v>
      </c>
      <c r="D1" s="5" t="s">
        <v>45</v>
      </c>
      <c r="E1" s="5" t="s">
        <v>33</v>
      </c>
      <c r="F1" s="5" t="s">
        <v>32</v>
      </c>
    </row>
    <row r="2" spans="1:6" x14ac:dyDescent="0.3">
      <c r="A2" s="11" t="s">
        <v>11</v>
      </c>
      <c r="B2" s="12">
        <v>297924</v>
      </c>
      <c r="C2" s="12">
        <v>309665</v>
      </c>
      <c r="D2" s="12">
        <f>C2+B2</f>
        <v>607589</v>
      </c>
      <c r="E2" s="8">
        <v>0.49033804101127598</v>
      </c>
      <c r="F2" s="8">
        <v>0.50966195898872424</v>
      </c>
    </row>
    <row r="3" spans="1:6" x14ac:dyDescent="0.3">
      <c r="A3" s="11" t="s">
        <v>12</v>
      </c>
      <c r="B3" s="12">
        <v>385950</v>
      </c>
      <c r="C3" s="12">
        <v>402026</v>
      </c>
      <c r="D3" s="12">
        <f t="shared" ref="D3" si="0">C3+B3</f>
        <v>787976</v>
      </c>
      <c r="E3" s="8">
        <v>0.48979918170096554</v>
      </c>
      <c r="F3" s="8">
        <v>0.51020081829903452</v>
      </c>
    </row>
    <row r="4" spans="1:6" x14ac:dyDescent="0.3">
      <c r="A4" s="1" t="s">
        <v>13</v>
      </c>
      <c r="B4" s="9">
        <v>461159</v>
      </c>
      <c r="C4" s="9">
        <v>478246</v>
      </c>
      <c r="D4" s="7">
        <f>B4+C4</f>
        <v>939405</v>
      </c>
      <c r="E4" s="10">
        <f>B4/D4*100%</f>
        <v>0.49090541353303419</v>
      </c>
      <c r="F4" s="10">
        <f>100%-E4</f>
        <v>0.50909458646696581</v>
      </c>
    </row>
    <row r="5" spans="1:6" x14ac:dyDescent="0.3">
      <c r="A5" s="1" t="s">
        <v>14</v>
      </c>
      <c r="B5" s="9">
        <v>765845</v>
      </c>
      <c r="C5" s="9">
        <v>765322</v>
      </c>
      <c r="D5" s="7">
        <f t="shared" ref="D5:D9" si="1">B5+C5</f>
        <v>1531167</v>
      </c>
      <c r="E5" s="10">
        <f t="shared" ref="E5:E21" si="2">B5/D5*100%</f>
        <v>0.50017078476743559</v>
      </c>
      <c r="F5" s="10">
        <f t="shared" ref="F5:F22" si="3">100%-E5</f>
        <v>0.49982921523256441</v>
      </c>
    </row>
    <row r="6" spans="1:6" x14ac:dyDescent="0.3">
      <c r="A6" s="1" t="s">
        <v>15</v>
      </c>
      <c r="B6" s="9">
        <v>347856</v>
      </c>
      <c r="C6" s="9">
        <v>356218</v>
      </c>
      <c r="D6" s="7">
        <f t="shared" si="1"/>
        <v>704074</v>
      </c>
      <c r="E6" s="10">
        <f t="shared" si="2"/>
        <v>0.4940617037413681</v>
      </c>
      <c r="F6" s="10">
        <f t="shared" si="3"/>
        <v>0.50593829625863185</v>
      </c>
    </row>
    <row r="7" spans="1:6" x14ac:dyDescent="0.3">
      <c r="A7" s="1" t="s">
        <v>16</v>
      </c>
      <c r="B7" s="9">
        <v>339125</v>
      </c>
      <c r="C7" s="9">
        <v>354136</v>
      </c>
      <c r="D7" s="7">
        <f t="shared" si="1"/>
        <v>693261</v>
      </c>
      <c r="E7" s="10">
        <f t="shared" si="2"/>
        <v>0.48917363013352838</v>
      </c>
      <c r="F7" s="10">
        <f t="shared" si="3"/>
        <v>0.51082636986647167</v>
      </c>
    </row>
    <row r="8" spans="1:6" x14ac:dyDescent="0.3">
      <c r="A8" s="1" t="s">
        <v>17</v>
      </c>
      <c r="B8" s="9">
        <v>607171</v>
      </c>
      <c r="C8" s="9">
        <v>615422</v>
      </c>
      <c r="D8" s="7">
        <f t="shared" si="1"/>
        <v>1222593</v>
      </c>
      <c r="E8" s="10">
        <f t="shared" si="2"/>
        <v>0.49662561457492393</v>
      </c>
      <c r="F8" s="10">
        <f t="shared" si="3"/>
        <v>0.50337438542507607</v>
      </c>
    </row>
    <row r="9" spans="1:6" x14ac:dyDescent="0.3">
      <c r="A9" s="1" t="s">
        <v>18</v>
      </c>
      <c r="B9" s="9">
        <v>345053</v>
      </c>
      <c r="C9" s="9">
        <v>352934</v>
      </c>
      <c r="D9" s="7">
        <f t="shared" si="1"/>
        <v>697987</v>
      </c>
      <c r="E9" s="10">
        <f t="shared" si="2"/>
        <v>0.49435447938142113</v>
      </c>
      <c r="F9" s="10">
        <f t="shared" si="3"/>
        <v>0.50564552061857881</v>
      </c>
    </row>
    <row r="10" spans="1:6" x14ac:dyDescent="0.3">
      <c r="A10" s="1" t="s">
        <v>19</v>
      </c>
      <c r="B10" s="9">
        <v>543847</v>
      </c>
      <c r="C10" s="7">
        <f>D10-B10</f>
        <v>591504</v>
      </c>
      <c r="D10" s="9">
        <v>1135351</v>
      </c>
      <c r="E10" s="10">
        <f t="shared" si="2"/>
        <v>0.47901221736714023</v>
      </c>
      <c r="F10" s="10">
        <f t="shared" si="3"/>
        <v>0.52098778263285972</v>
      </c>
    </row>
    <row r="11" spans="1:6" x14ac:dyDescent="0.3">
      <c r="A11" s="1" t="s">
        <v>20</v>
      </c>
      <c r="B11" s="9">
        <v>401605</v>
      </c>
      <c r="C11" s="7">
        <f t="shared" ref="C11:C15" si="4">D11-B11</f>
        <v>428379</v>
      </c>
      <c r="D11" s="9">
        <v>829984</v>
      </c>
      <c r="E11" s="10">
        <f t="shared" si="2"/>
        <v>0.48387077341249951</v>
      </c>
      <c r="F11" s="10">
        <f t="shared" si="3"/>
        <v>0.51612922658750049</v>
      </c>
    </row>
    <row r="12" spans="1:6" x14ac:dyDescent="0.3">
      <c r="A12" s="1" t="s">
        <v>21</v>
      </c>
      <c r="B12" s="9">
        <v>423160</v>
      </c>
      <c r="C12" s="7">
        <f t="shared" si="4"/>
        <v>418769</v>
      </c>
      <c r="D12" s="9">
        <v>841929</v>
      </c>
      <c r="E12" s="10">
        <f t="shared" si="2"/>
        <v>0.50260770207464045</v>
      </c>
      <c r="F12" s="10">
        <f t="shared" si="3"/>
        <v>0.49739229792535955</v>
      </c>
    </row>
    <row r="13" spans="1:6" x14ac:dyDescent="0.3">
      <c r="A13" s="1" t="s">
        <v>22</v>
      </c>
      <c r="B13" s="9">
        <v>391386</v>
      </c>
      <c r="C13" s="7">
        <f t="shared" si="4"/>
        <v>395451</v>
      </c>
      <c r="D13" s="9">
        <v>786837</v>
      </c>
      <c r="E13" s="10">
        <f t="shared" si="2"/>
        <v>0.49741687287201797</v>
      </c>
      <c r="F13" s="10">
        <f t="shared" si="3"/>
        <v>0.50258312712798203</v>
      </c>
    </row>
    <row r="14" spans="1:6" x14ac:dyDescent="0.3">
      <c r="A14" s="1" t="s">
        <v>23</v>
      </c>
      <c r="B14" s="9">
        <v>362347</v>
      </c>
      <c r="C14" s="7">
        <f t="shared" si="4"/>
        <v>391586</v>
      </c>
      <c r="D14" s="9">
        <v>753933</v>
      </c>
      <c r="E14" s="10">
        <f t="shared" si="2"/>
        <v>0.48060901963437069</v>
      </c>
      <c r="F14" s="10">
        <f t="shared" si="3"/>
        <v>0.51939098036562936</v>
      </c>
    </row>
    <row r="15" spans="1:6" x14ac:dyDescent="0.3">
      <c r="A15" s="1" t="s">
        <v>24</v>
      </c>
      <c r="B15" s="9">
        <v>256139</v>
      </c>
      <c r="C15" s="7">
        <f t="shared" si="4"/>
        <v>273950</v>
      </c>
      <c r="D15" s="9">
        <v>530089</v>
      </c>
      <c r="E15" s="10">
        <f t="shared" si="2"/>
        <v>0.48319999094491678</v>
      </c>
      <c r="F15" s="10">
        <f t="shared" si="3"/>
        <v>0.51680000905508328</v>
      </c>
    </row>
    <row r="16" spans="1:6" x14ac:dyDescent="0.3">
      <c r="A16" s="1" t="s">
        <v>25</v>
      </c>
      <c r="B16" s="7">
        <f>D16-C16</f>
        <v>1092059</v>
      </c>
      <c r="C16" s="9">
        <v>1050113</v>
      </c>
      <c r="D16" s="9">
        <v>2142172</v>
      </c>
      <c r="E16" s="10">
        <f t="shared" si="2"/>
        <v>0.50979053035890676</v>
      </c>
      <c r="F16" s="10">
        <f t="shared" si="3"/>
        <v>0.49020946964109324</v>
      </c>
    </row>
    <row r="17" spans="1:6" x14ac:dyDescent="0.3">
      <c r="A17" s="1" t="s">
        <v>26</v>
      </c>
      <c r="B17" s="7">
        <f t="shared" ref="B17:B22" si="5">D17-C17</f>
        <v>108583</v>
      </c>
      <c r="C17" s="9">
        <v>112999</v>
      </c>
      <c r="D17" s="9">
        <v>221582</v>
      </c>
      <c r="E17" s="10">
        <f t="shared" si="2"/>
        <v>0.49003529167531656</v>
      </c>
      <c r="F17" s="10">
        <f t="shared" si="3"/>
        <v>0.50996470832468344</v>
      </c>
    </row>
    <row r="18" spans="1:6" x14ac:dyDescent="0.3">
      <c r="A18" s="1" t="s">
        <v>27</v>
      </c>
      <c r="B18" s="7">
        <f t="shared" si="5"/>
        <v>348277</v>
      </c>
      <c r="C18" s="9">
        <v>378776</v>
      </c>
      <c r="D18" s="9">
        <v>727053</v>
      </c>
      <c r="E18" s="10">
        <f t="shared" si="2"/>
        <v>0.47902560060958416</v>
      </c>
      <c r="F18" s="10">
        <f t="shared" si="3"/>
        <v>0.5209743993904159</v>
      </c>
    </row>
    <row r="19" spans="1:6" x14ac:dyDescent="0.3">
      <c r="A19" s="1" t="s">
        <v>28</v>
      </c>
      <c r="B19" s="7">
        <f>D19-C19</f>
        <v>680059</v>
      </c>
      <c r="C19" s="9">
        <v>750058</v>
      </c>
      <c r="D19" s="9">
        <v>1430117</v>
      </c>
      <c r="E19" s="10">
        <f t="shared" si="2"/>
        <v>0.4755268275253004</v>
      </c>
      <c r="F19" s="10">
        <f t="shared" si="3"/>
        <v>0.5244731724746996</v>
      </c>
    </row>
    <row r="20" spans="1:6" x14ac:dyDescent="0.3">
      <c r="A20" s="1" t="s">
        <v>29</v>
      </c>
      <c r="B20" s="7">
        <f t="shared" si="5"/>
        <v>1035807</v>
      </c>
      <c r="C20" s="9">
        <v>1192870</v>
      </c>
      <c r="D20" s="9">
        <v>2228677</v>
      </c>
      <c r="E20" s="10">
        <f t="shared" si="2"/>
        <v>0.46476317564187186</v>
      </c>
      <c r="F20" s="10">
        <f t="shared" si="3"/>
        <v>0.53523682435812814</v>
      </c>
    </row>
    <row r="21" spans="1:6" x14ac:dyDescent="0.3">
      <c r="A21" s="1" t="s">
        <v>30</v>
      </c>
      <c r="B21" s="7">
        <f>D21-C21</f>
        <v>590462</v>
      </c>
      <c r="C21" s="9">
        <v>631604</v>
      </c>
      <c r="D21" s="9">
        <v>1222066</v>
      </c>
      <c r="E21" s="10">
        <f t="shared" si="2"/>
        <v>0.48316703025859487</v>
      </c>
      <c r="F21" s="10">
        <f t="shared" si="3"/>
        <v>0.51683296974140513</v>
      </c>
    </row>
    <row r="22" spans="1:6" x14ac:dyDescent="0.3">
      <c r="A22" s="4" t="s">
        <v>10</v>
      </c>
      <c r="B22" s="7">
        <f>SUM(B2:B21)</f>
        <v>9783814</v>
      </c>
      <c r="C22" s="7">
        <f>SUM(C2:C21)</f>
        <v>10250028</v>
      </c>
      <c r="D22" s="6">
        <f>SUM(B22+C22)</f>
        <v>20033842</v>
      </c>
      <c r="E22" s="10">
        <f>B22/D22*100%</f>
        <v>0.48836433870248153</v>
      </c>
      <c r="F22" s="10">
        <f>100%-E22</f>
        <v>0.51163566129751847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95E5-FC9A-4CB9-A01C-17ABCC9CF654}">
  <dimension ref="A1:E13"/>
  <sheetViews>
    <sheetView workbookViewId="0">
      <selection activeCell="E11" sqref="E11"/>
    </sheetView>
  </sheetViews>
  <sheetFormatPr defaultRowHeight="14.4" x14ac:dyDescent="0.3"/>
  <cols>
    <col min="1" max="1" width="27.44140625" customWidth="1"/>
    <col min="2" max="2" width="11.88671875" bestFit="1" customWidth="1"/>
    <col min="3" max="3" width="18.6640625" customWidth="1"/>
    <col min="4" max="4" width="20.33203125" customWidth="1"/>
    <col min="5" max="5" width="24" customWidth="1"/>
  </cols>
  <sheetData>
    <row r="1" spans="1:5" ht="34.5" customHeight="1" x14ac:dyDescent="0.3">
      <c r="A1" s="5" t="s">
        <v>34</v>
      </c>
      <c r="B1" s="5" t="s">
        <v>35</v>
      </c>
      <c r="C1" s="5" t="s">
        <v>46</v>
      </c>
      <c r="D1" s="14" t="s">
        <v>48</v>
      </c>
      <c r="E1" s="14" t="s">
        <v>47</v>
      </c>
    </row>
    <row r="2" spans="1:5" x14ac:dyDescent="0.3">
      <c r="A2" s="1" t="s">
        <v>36</v>
      </c>
      <c r="B2" s="13">
        <v>50</v>
      </c>
      <c r="C2" s="19">
        <v>2460</v>
      </c>
      <c r="D2" s="17">
        <v>123</v>
      </c>
      <c r="E2" s="17">
        <v>116850</v>
      </c>
    </row>
    <row r="3" spans="1:5" x14ac:dyDescent="0.3">
      <c r="A3" s="1" t="s">
        <v>37</v>
      </c>
      <c r="B3" s="13">
        <v>85</v>
      </c>
      <c r="C3" s="19">
        <v>1810</v>
      </c>
      <c r="D3" s="18">
        <f>C3*$B$13</f>
        <v>90.5</v>
      </c>
      <c r="E3" s="18">
        <f>B3*(C3-D3)</f>
        <v>146157.5</v>
      </c>
    </row>
    <row r="4" spans="1:5" x14ac:dyDescent="0.3">
      <c r="A4" s="1" t="s">
        <v>38</v>
      </c>
      <c r="B4" s="13">
        <v>90</v>
      </c>
      <c r="C4" s="19">
        <v>1460</v>
      </c>
      <c r="D4" s="18">
        <f t="shared" ref="D4:D7" si="0">C4*$B$13</f>
        <v>73</v>
      </c>
      <c r="E4" s="18">
        <f t="shared" ref="E4:E7" si="1">B4*(C4-D4)</f>
        <v>124830</v>
      </c>
    </row>
    <row r="5" spans="1:5" x14ac:dyDescent="0.3">
      <c r="A5" s="1" t="s">
        <v>39</v>
      </c>
      <c r="B5" s="13">
        <v>55</v>
      </c>
      <c r="C5" s="19">
        <v>2600</v>
      </c>
      <c r="D5" s="18">
        <f t="shared" si="0"/>
        <v>130</v>
      </c>
      <c r="E5" s="18">
        <f t="shared" si="1"/>
        <v>135850</v>
      </c>
    </row>
    <row r="6" spans="1:5" x14ac:dyDescent="0.3">
      <c r="A6" s="1" t="s">
        <v>40</v>
      </c>
      <c r="B6" s="13">
        <v>45</v>
      </c>
      <c r="C6" s="19">
        <v>1600</v>
      </c>
      <c r="D6" s="18">
        <f t="shared" si="0"/>
        <v>80</v>
      </c>
      <c r="E6" s="18">
        <f t="shared" si="1"/>
        <v>68400</v>
      </c>
    </row>
    <row r="7" spans="1:5" x14ac:dyDescent="0.3">
      <c r="A7" s="1" t="s">
        <v>41</v>
      </c>
      <c r="B7" s="13">
        <v>55</v>
      </c>
      <c r="C7" s="19">
        <v>1409</v>
      </c>
      <c r="D7" s="18">
        <f t="shared" si="0"/>
        <v>70.45</v>
      </c>
      <c r="E7" s="18">
        <f t="shared" si="1"/>
        <v>73620.25</v>
      </c>
    </row>
    <row r="13" spans="1:5" x14ac:dyDescent="0.3">
      <c r="A13" s="16" t="s">
        <v>31</v>
      </c>
      <c r="B13" s="15">
        <v>0.05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42B5-31C1-42D2-8819-560A927CA69E}">
  <dimension ref="A1:F32"/>
  <sheetViews>
    <sheetView workbookViewId="0">
      <selection activeCell="F7" sqref="F7"/>
    </sheetView>
  </sheetViews>
  <sheetFormatPr defaultRowHeight="14.4" x14ac:dyDescent="0.3"/>
  <cols>
    <col min="1" max="3" width="17.5546875" customWidth="1"/>
    <col min="4" max="4" width="10.109375" bestFit="1" customWidth="1"/>
    <col min="5" max="5" width="34" customWidth="1"/>
    <col min="6" max="6" width="13.88671875" customWidth="1"/>
  </cols>
  <sheetData>
    <row r="1" spans="1:6" ht="43.2" x14ac:dyDescent="0.3">
      <c r="A1" s="5" t="s">
        <v>0</v>
      </c>
      <c r="B1" s="5" t="s">
        <v>49</v>
      </c>
      <c r="C1" s="5" t="s">
        <v>56</v>
      </c>
      <c r="E1" s="20" t="s">
        <v>8</v>
      </c>
      <c r="F1" s="20" t="s">
        <v>9</v>
      </c>
    </row>
    <row r="2" spans="1:6" x14ac:dyDescent="0.3">
      <c r="A2" s="3">
        <v>45292</v>
      </c>
      <c r="B2" s="1">
        <v>1</v>
      </c>
      <c r="C2" s="1">
        <v>-2</v>
      </c>
      <c r="E2" s="1" t="s">
        <v>7</v>
      </c>
      <c r="F2" s="2">
        <f>A32-A2+1</f>
        <v>31</v>
      </c>
    </row>
    <row r="3" spans="1:6" x14ac:dyDescent="0.3">
      <c r="A3" s="3">
        <v>45293</v>
      </c>
      <c r="B3" s="1">
        <v>-1</v>
      </c>
      <c r="C3" s="1">
        <v>-12</v>
      </c>
      <c r="E3" s="1" t="s">
        <v>3</v>
      </c>
      <c r="F3" s="21">
        <f>AVERAGE(B2:B32)</f>
        <v>-7.419354838709677</v>
      </c>
    </row>
    <row r="4" spans="1:6" x14ac:dyDescent="0.3">
      <c r="A4" s="3">
        <v>45294</v>
      </c>
      <c r="B4" s="1">
        <v>-7</v>
      </c>
      <c r="C4" s="1">
        <v>-13</v>
      </c>
      <c r="E4" s="1" t="s">
        <v>2</v>
      </c>
      <c r="F4" s="21">
        <f>MAX(B2:B32)</f>
        <v>1</v>
      </c>
    </row>
    <row r="5" spans="1:6" x14ac:dyDescent="0.3">
      <c r="A5" s="3">
        <v>45295</v>
      </c>
      <c r="B5" s="1">
        <v>-3</v>
      </c>
      <c r="C5" s="1">
        <v>-9</v>
      </c>
      <c r="E5" s="1" t="s">
        <v>6</v>
      </c>
      <c r="F5" s="21">
        <f>MIN(B2:B32)</f>
        <v>-20</v>
      </c>
    </row>
    <row r="6" spans="1:6" x14ac:dyDescent="0.3">
      <c r="A6" s="3">
        <v>45296</v>
      </c>
      <c r="B6" s="1">
        <v>-1</v>
      </c>
      <c r="C6" s="1">
        <v>-6</v>
      </c>
      <c r="E6" s="1" t="s">
        <v>1</v>
      </c>
      <c r="F6" s="21">
        <f>AVERAGE(C2:C32)</f>
        <v>-16.70967741935484</v>
      </c>
    </row>
    <row r="7" spans="1:6" x14ac:dyDescent="0.3">
      <c r="A7" s="3">
        <v>45297</v>
      </c>
      <c r="B7" s="1">
        <v>-2</v>
      </c>
      <c r="C7" s="1">
        <v>-6</v>
      </c>
      <c r="E7" s="1" t="s">
        <v>4</v>
      </c>
      <c r="F7" s="21">
        <f>MAX(C2:C32)</f>
        <v>-2</v>
      </c>
    </row>
    <row r="8" spans="1:6" x14ac:dyDescent="0.3">
      <c r="A8" s="3">
        <v>45298</v>
      </c>
      <c r="B8" s="1">
        <v>0</v>
      </c>
      <c r="C8" s="1">
        <v>-5</v>
      </c>
      <c r="E8" s="1" t="s">
        <v>5</v>
      </c>
      <c r="F8" s="21">
        <f xml:space="preserve"> MIN(C2:C32)</f>
        <v>-28</v>
      </c>
    </row>
    <row r="9" spans="1:6" x14ac:dyDescent="0.3">
      <c r="A9" s="3">
        <v>45299</v>
      </c>
      <c r="B9" s="1">
        <v>0</v>
      </c>
      <c r="C9" s="1">
        <v>-16</v>
      </c>
    </row>
    <row r="10" spans="1:6" x14ac:dyDescent="0.3">
      <c r="A10" s="3">
        <v>45300</v>
      </c>
      <c r="B10" s="1">
        <v>-16</v>
      </c>
      <c r="C10" s="1">
        <v>-24</v>
      </c>
    </row>
    <row r="11" spans="1:6" x14ac:dyDescent="0.3">
      <c r="A11" s="3">
        <v>45301</v>
      </c>
      <c r="B11" s="1">
        <v>1</v>
      </c>
      <c r="C11" s="1">
        <v>-20</v>
      </c>
    </row>
    <row r="12" spans="1:6" x14ac:dyDescent="0.3">
      <c r="A12" s="3">
        <v>45302</v>
      </c>
      <c r="B12" s="1">
        <v>-15</v>
      </c>
      <c r="C12" s="1">
        <v>-26</v>
      </c>
    </row>
    <row r="13" spans="1:6" x14ac:dyDescent="0.3">
      <c r="A13" s="3">
        <v>45303</v>
      </c>
      <c r="B13" s="1">
        <v>-8</v>
      </c>
      <c r="C13" s="1">
        <v>-27</v>
      </c>
    </row>
    <row r="14" spans="1:6" x14ac:dyDescent="0.3">
      <c r="A14" s="3">
        <v>45304</v>
      </c>
      <c r="B14" s="1">
        <v>-3</v>
      </c>
      <c r="C14" s="1">
        <v>-11</v>
      </c>
    </row>
    <row r="15" spans="1:6" x14ac:dyDescent="0.3">
      <c r="A15" s="3">
        <v>45305</v>
      </c>
      <c r="B15" s="1">
        <v>-1</v>
      </c>
      <c r="C15" s="1">
        <v>-24</v>
      </c>
    </row>
    <row r="16" spans="1:6" x14ac:dyDescent="0.3">
      <c r="A16" s="3">
        <v>45306</v>
      </c>
      <c r="B16" s="1">
        <v>-20</v>
      </c>
      <c r="C16" s="1">
        <v>-26</v>
      </c>
    </row>
    <row r="17" spans="1:3" x14ac:dyDescent="0.3">
      <c r="A17" s="3">
        <v>45307</v>
      </c>
      <c r="B17" s="1">
        <v>-14</v>
      </c>
      <c r="C17" s="1">
        <v>-28</v>
      </c>
    </row>
    <row r="18" spans="1:3" x14ac:dyDescent="0.3">
      <c r="A18" s="3">
        <v>45308</v>
      </c>
      <c r="B18" s="1">
        <v>-12</v>
      </c>
      <c r="C18" s="1">
        <v>-21</v>
      </c>
    </row>
    <row r="19" spans="1:3" x14ac:dyDescent="0.3">
      <c r="A19" s="3">
        <v>45309</v>
      </c>
      <c r="B19" s="1">
        <v>-12</v>
      </c>
      <c r="C19" s="1">
        <v>-19</v>
      </c>
    </row>
    <row r="20" spans="1:3" x14ac:dyDescent="0.3">
      <c r="A20" s="3">
        <v>45310</v>
      </c>
      <c r="B20" s="1">
        <v>-11</v>
      </c>
      <c r="C20" s="1">
        <v>-18</v>
      </c>
    </row>
    <row r="21" spans="1:3" x14ac:dyDescent="0.3">
      <c r="A21" s="3">
        <v>45311</v>
      </c>
      <c r="B21" s="1">
        <v>-15</v>
      </c>
      <c r="C21" s="1">
        <v>-23</v>
      </c>
    </row>
    <row r="22" spans="1:3" x14ac:dyDescent="0.3">
      <c r="A22" s="3">
        <v>45312</v>
      </c>
      <c r="B22" s="1">
        <v>-14</v>
      </c>
      <c r="C22" s="1">
        <v>-23</v>
      </c>
    </row>
    <row r="23" spans="1:3" x14ac:dyDescent="0.3">
      <c r="A23" s="3">
        <v>45313</v>
      </c>
      <c r="B23" s="1">
        <v>-9</v>
      </c>
      <c r="C23" s="1">
        <v>-23</v>
      </c>
    </row>
    <row r="24" spans="1:3" x14ac:dyDescent="0.3">
      <c r="A24" s="3">
        <v>45314</v>
      </c>
      <c r="B24" s="1">
        <v>-10</v>
      </c>
      <c r="C24" s="1">
        <v>-15</v>
      </c>
    </row>
    <row r="25" spans="1:3" x14ac:dyDescent="0.3">
      <c r="A25" s="3">
        <v>45315</v>
      </c>
      <c r="B25" s="1">
        <v>-5</v>
      </c>
      <c r="C25" s="1">
        <v>-12</v>
      </c>
    </row>
    <row r="26" spans="1:3" x14ac:dyDescent="0.3">
      <c r="A26" s="3">
        <v>45316</v>
      </c>
      <c r="B26" s="1">
        <v>0</v>
      </c>
      <c r="C26" s="1">
        <v>-8</v>
      </c>
    </row>
    <row r="27" spans="1:3" x14ac:dyDescent="0.3">
      <c r="A27" s="3">
        <v>45317</v>
      </c>
      <c r="B27" s="1">
        <v>-1</v>
      </c>
      <c r="C27" s="1">
        <v>-14</v>
      </c>
    </row>
    <row r="28" spans="1:3" x14ac:dyDescent="0.3">
      <c r="A28" s="3">
        <v>45318</v>
      </c>
      <c r="B28" s="1">
        <v>-11</v>
      </c>
      <c r="C28" s="1">
        <v>-15</v>
      </c>
    </row>
    <row r="29" spans="1:3" x14ac:dyDescent="0.3">
      <c r="A29" s="3">
        <v>45319</v>
      </c>
      <c r="B29" s="1">
        <v>-10</v>
      </c>
      <c r="C29" s="1">
        <v>-16</v>
      </c>
    </row>
    <row r="30" spans="1:3" x14ac:dyDescent="0.3">
      <c r="A30" s="3">
        <v>45320</v>
      </c>
      <c r="B30" s="1">
        <v>-15</v>
      </c>
      <c r="C30" s="1">
        <v>-20</v>
      </c>
    </row>
    <row r="31" spans="1:3" x14ac:dyDescent="0.3">
      <c r="A31" s="3">
        <v>45321</v>
      </c>
      <c r="B31" s="1">
        <v>-11</v>
      </c>
      <c r="C31" s="1">
        <v>-22</v>
      </c>
    </row>
    <row r="32" spans="1:3" x14ac:dyDescent="0.3">
      <c r="A32" s="3">
        <v>45322</v>
      </c>
      <c r="B32" s="1">
        <v>-5</v>
      </c>
      <c r="C32" s="1">
        <v>-14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66D7-4463-4C45-8D98-6FF8C06B22C1}">
  <dimension ref="A1:H21"/>
  <sheetViews>
    <sheetView tabSelected="1" workbookViewId="0">
      <selection activeCell="K17" sqref="K17"/>
    </sheetView>
  </sheetViews>
  <sheetFormatPr defaultRowHeight="14.4" x14ac:dyDescent="0.3"/>
  <cols>
    <col min="1" max="1" width="24.44140625" bestFit="1" customWidth="1"/>
    <col min="2" max="2" width="10.5546875" style="25" bestFit="1" customWidth="1"/>
    <col min="3" max="5" width="15" customWidth="1"/>
    <col min="6" max="8" width="15.33203125" customWidth="1"/>
  </cols>
  <sheetData>
    <row r="1" spans="1:8" ht="64.5" customHeight="1" x14ac:dyDescent="0.3">
      <c r="A1" s="5" t="s">
        <v>42</v>
      </c>
      <c r="B1" s="23" t="s">
        <v>45</v>
      </c>
      <c r="C1" s="5" t="s">
        <v>51</v>
      </c>
      <c r="D1" s="5" t="s">
        <v>50</v>
      </c>
      <c r="E1" s="5" t="s">
        <v>52</v>
      </c>
      <c r="F1" s="5" t="s">
        <v>53</v>
      </c>
      <c r="G1" s="5" t="s">
        <v>54</v>
      </c>
      <c r="H1" s="5" t="s">
        <v>55</v>
      </c>
    </row>
    <row r="2" spans="1:8" x14ac:dyDescent="0.3">
      <c r="A2" s="1" t="s">
        <v>11</v>
      </c>
      <c r="B2" s="24">
        <v>607589</v>
      </c>
      <c r="C2" s="9">
        <v>169411</v>
      </c>
      <c r="D2" s="9">
        <v>345473</v>
      </c>
      <c r="E2" s="9">
        <v>92705</v>
      </c>
      <c r="F2" s="22">
        <f>C2/B2</f>
        <v>0.27882499518589049</v>
      </c>
      <c r="G2" s="22">
        <f>D2/B2</f>
        <v>0.56859653482864236</v>
      </c>
      <c r="H2" s="22">
        <f>E2/B2</f>
        <v>0.15257846998546715</v>
      </c>
    </row>
    <row r="3" spans="1:8" x14ac:dyDescent="0.3">
      <c r="A3" s="1" t="s">
        <v>12</v>
      </c>
      <c r="B3" s="24">
        <v>787976</v>
      </c>
      <c r="C3" s="9">
        <v>201021</v>
      </c>
      <c r="D3" s="9">
        <v>465703</v>
      </c>
      <c r="E3" s="9">
        <v>121252</v>
      </c>
      <c r="F3" s="22">
        <f t="shared" ref="F3:F21" si="0">C3/B3</f>
        <v>0.25511056174299723</v>
      </c>
      <c r="G3" s="22">
        <f t="shared" ref="G3:G21" si="1">D3/B3</f>
        <v>0.59101165517731502</v>
      </c>
      <c r="H3" s="22">
        <f t="shared" ref="H3:H21" si="2">E3/B3</f>
        <v>0.15387778307968772</v>
      </c>
    </row>
    <row r="4" spans="1:8" x14ac:dyDescent="0.3">
      <c r="A4" s="1" t="s">
        <v>13</v>
      </c>
      <c r="B4" s="24">
        <v>939405</v>
      </c>
      <c r="C4" s="9">
        <v>302377</v>
      </c>
      <c r="D4" s="9">
        <v>535142</v>
      </c>
      <c r="E4" s="9">
        <v>101886</v>
      </c>
      <c r="F4" s="22">
        <f t="shared" si="0"/>
        <v>0.32188140365444085</v>
      </c>
      <c r="G4" s="22">
        <f t="shared" si="1"/>
        <v>0.56966058302861922</v>
      </c>
      <c r="H4" s="22">
        <f t="shared" si="2"/>
        <v>0.10845801331693998</v>
      </c>
    </row>
    <row r="5" spans="1:8" x14ac:dyDescent="0.3">
      <c r="A5" s="1" t="s">
        <v>14</v>
      </c>
      <c r="B5" s="24">
        <v>1531167</v>
      </c>
      <c r="C5" s="9">
        <v>503261</v>
      </c>
      <c r="D5" s="9">
        <v>868792</v>
      </c>
      <c r="E5" s="9">
        <v>159114</v>
      </c>
      <c r="F5" s="22">
        <f t="shared" si="0"/>
        <v>0.32867806059038629</v>
      </c>
      <c r="G5" s="22">
        <f t="shared" si="1"/>
        <v>0.5674051230205458</v>
      </c>
      <c r="H5" s="22">
        <f t="shared" si="2"/>
        <v>0.10391681638906794</v>
      </c>
    </row>
    <row r="6" spans="1:8" x14ac:dyDescent="0.3">
      <c r="A6" s="1" t="s">
        <v>15</v>
      </c>
      <c r="B6" s="24">
        <v>704074</v>
      </c>
      <c r="C6" s="9">
        <v>251908</v>
      </c>
      <c r="D6" s="9">
        <v>390273</v>
      </c>
      <c r="E6" s="9">
        <v>61893</v>
      </c>
      <c r="F6" s="22">
        <f t="shared" si="0"/>
        <v>0.35778625542201531</v>
      </c>
      <c r="G6" s="22">
        <f t="shared" si="1"/>
        <v>0.55430679161565399</v>
      </c>
      <c r="H6" s="22">
        <f t="shared" si="2"/>
        <v>8.790695296233067E-2</v>
      </c>
    </row>
    <row r="7" spans="1:8" x14ac:dyDescent="0.3">
      <c r="A7" s="1" t="s">
        <v>16</v>
      </c>
      <c r="B7" s="24">
        <v>693261</v>
      </c>
      <c r="C7" s="9">
        <v>198100</v>
      </c>
      <c r="D7" s="9">
        <v>401594</v>
      </c>
      <c r="E7" s="9">
        <v>93567</v>
      </c>
      <c r="F7" s="22">
        <f t="shared" si="0"/>
        <v>0.28575096536513667</v>
      </c>
      <c r="G7" s="22">
        <f t="shared" si="1"/>
        <v>0.57928255015066477</v>
      </c>
      <c r="H7" s="22">
        <f t="shared" si="2"/>
        <v>0.1349664844841986</v>
      </c>
    </row>
    <row r="8" spans="1:8" x14ac:dyDescent="0.3">
      <c r="A8" s="1" t="s">
        <v>17</v>
      </c>
      <c r="B8" s="24">
        <v>1222593</v>
      </c>
      <c r="C8" s="9">
        <v>420933</v>
      </c>
      <c r="D8" s="9">
        <v>672359</v>
      </c>
      <c r="E8" s="9">
        <v>129301</v>
      </c>
      <c r="F8" s="22">
        <f t="shared" si="0"/>
        <v>0.34429528060442027</v>
      </c>
      <c r="G8" s="22">
        <f t="shared" si="1"/>
        <v>0.54994507575292839</v>
      </c>
      <c r="H8" s="22">
        <f t="shared" si="2"/>
        <v>0.10575964364265132</v>
      </c>
    </row>
    <row r="9" spans="1:8" x14ac:dyDescent="0.3">
      <c r="A9" s="1" t="s">
        <v>18</v>
      </c>
      <c r="B9" s="24">
        <v>697987</v>
      </c>
      <c r="C9" s="9">
        <v>222016</v>
      </c>
      <c r="D9" s="9">
        <v>387964</v>
      </c>
      <c r="E9" s="9">
        <v>88007</v>
      </c>
      <c r="F9" s="22">
        <f t="shared" si="0"/>
        <v>0.31808042270128239</v>
      </c>
      <c r="G9" s="22">
        <f t="shared" si="1"/>
        <v>0.55583270175519028</v>
      </c>
      <c r="H9" s="22">
        <f t="shared" si="2"/>
        <v>0.12608687554352732</v>
      </c>
    </row>
    <row r="10" spans="1:8" x14ac:dyDescent="0.3">
      <c r="A10" s="1" t="s">
        <v>19</v>
      </c>
      <c r="B10" s="24">
        <v>1135351</v>
      </c>
      <c r="C10" s="9">
        <v>285596</v>
      </c>
      <c r="D10" s="9">
        <v>669281</v>
      </c>
      <c r="E10" s="9">
        <v>180474</v>
      </c>
      <c r="F10" s="22">
        <f t="shared" si="0"/>
        <v>0.25154864002409827</v>
      </c>
      <c r="G10" s="22">
        <f t="shared" si="1"/>
        <v>0.58949258863558496</v>
      </c>
      <c r="H10" s="22">
        <f t="shared" si="2"/>
        <v>0.15895877134031677</v>
      </c>
    </row>
    <row r="11" spans="1:8" x14ac:dyDescent="0.3">
      <c r="A11" s="1" t="s">
        <v>20</v>
      </c>
      <c r="B11" s="24">
        <v>829984</v>
      </c>
      <c r="C11" s="9">
        <v>185405</v>
      </c>
      <c r="D11" s="9">
        <v>499164</v>
      </c>
      <c r="E11" s="9">
        <v>145415</v>
      </c>
      <c r="F11" s="22">
        <f t="shared" si="0"/>
        <v>0.22338382426649189</v>
      </c>
      <c r="G11" s="22">
        <f t="shared" si="1"/>
        <v>0.60141400316150673</v>
      </c>
      <c r="H11" s="22">
        <f t="shared" si="2"/>
        <v>0.17520217257200138</v>
      </c>
    </row>
    <row r="12" spans="1:8" x14ac:dyDescent="0.3">
      <c r="A12" s="1" t="s">
        <v>21</v>
      </c>
      <c r="B12" s="24">
        <v>841929</v>
      </c>
      <c r="C12" s="9">
        <v>305300</v>
      </c>
      <c r="D12" s="9">
        <v>460956</v>
      </c>
      <c r="E12" s="9">
        <v>75673</v>
      </c>
      <c r="F12" s="22">
        <f t="shared" si="0"/>
        <v>0.36261965082566344</v>
      </c>
      <c r="G12" s="22">
        <f t="shared" si="1"/>
        <v>0.54749984856205214</v>
      </c>
      <c r="H12" s="22">
        <f t="shared" si="2"/>
        <v>8.9880500612284406E-2</v>
      </c>
    </row>
    <row r="13" spans="1:8" x14ac:dyDescent="0.3">
      <c r="A13" s="1" t="s">
        <v>22</v>
      </c>
      <c r="B13" s="24">
        <v>786837</v>
      </c>
      <c r="C13" s="9">
        <v>303068</v>
      </c>
      <c r="D13" s="9">
        <v>425173</v>
      </c>
      <c r="E13" s="9">
        <v>58596</v>
      </c>
      <c r="F13" s="22">
        <f t="shared" si="0"/>
        <v>0.38517253255756911</v>
      </c>
      <c r="G13" s="22">
        <f t="shared" si="1"/>
        <v>0.54035715148118357</v>
      </c>
      <c r="H13" s="22">
        <f t="shared" si="2"/>
        <v>7.4470315961247369E-2</v>
      </c>
    </row>
    <row r="14" spans="1:8" x14ac:dyDescent="0.3">
      <c r="A14" s="1" t="s">
        <v>23</v>
      </c>
      <c r="B14" s="24">
        <v>753933</v>
      </c>
      <c r="C14" s="9">
        <v>184635</v>
      </c>
      <c r="D14" s="9">
        <v>446109</v>
      </c>
      <c r="E14" s="9">
        <v>123189</v>
      </c>
      <c r="F14" s="22">
        <f t="shared" si="0"/>
        <v>0.24489576659994985</v>
      </c>
      <c r="G14" s="22">
        <f t="shared" si="1"/>
        <v>0.59170907759708091</v>
      </c>
      <c r="H14" s="22">
        <f t="shared" si="2"/>
        <v>0.16339515580296923</v>
      </c>
    </row>
    <row r="15" spans="1:8" x14ac:dyDescent="0.3">
      <c r="A15" s="1" t="s">
        <v>24</v>
      </c>
      <c r="B15" s="24">
        <v>530089</v>
      </c>
      <c r="C15" s="9">
        <v>112680</v>
      </c>
      <c r="D15" s="9">
        <v>314521</v>
      </c>
      <c r="E15" s="9">
        <v>102888</v>
      </c>
      <c r="F15" s="22">
        <f t="shared" si="0"/>
        <v>0.21256807819064347</v>
      </c>
      <c r="G15" s="22">
        <f t="shared" si="1"/>
        <v>0.59333621335285203</v>
      </c>
      <c r="H15" s="22">
        <f t="shared" si="2"/>
        <v>0.19409570845650448</v>
      </c>
    </row>
    <row r="16" spans="1:8" x14ac:dyDescent="0.3">
      <c r="A16" s="1" t="s">
        <v>25</v>
      </c>
      <c r="B16" s="24">
        <v>2142172</v>
      </c>
      <c r="C16" s="9">
        <v>838845</v>
      </c>
      <c r="D16" s="9">
        <v>1135699</v>
      </c>
      <c r="E16" s="9">
        <v>167628</v>
      </c>
      <c r="F16" s="22">
        <f t="shared" si="0"/>
        <v>0.39158620316202436</v>
      </c>
      <c r="G16" s="22">
        <f t="shared" si="1"/>
        <v>0.53016237725075299</v>
      </c>
      <c r="H16" s="22">
        <f t="shared" si="2"/>
        <v>7.825141958722269E-2</v>
      </c>
    </row>
    <row r="17" spans="1:8" x14ac:dyDescent="0.3">
      <c r="A17" s="1" t="s">
        <v>26</v>
      </c>
      <c r="B17" s="24">
        <v>221582</v>
      </c>
      <c r="C17" s="9">
        <v>68745</v>
      </c>
      <c r="D17" s="9">
        <v>125759</v>
      </c>
      <c r="E17" s="9">
        <v>27078</v>
      </c>
      <c r="F17" s="22">
        <f t="shared" si="0"/>
        <v>0.31024631964690275</v>
      </c>
      <c r="G17" s="22">
        <f t="shared" si="1"/>
        <v>0.56755061331696621</v>
      </c>
      <c r="H17" s="22">
        <f t="shared" si="2"/>
        <v>0.1222030670361311</v>
      </c>
    </row>
    <row r="18" spans="1:8" x14ac:dyDescent="0.3">
      <c r="A18" s="1" t="s">
        <v>27</v>
      </c>
      <c r="B18" s="24">
        <f>C18+D18+E18</f>
        <v>727053</v>
      </c>
      <c r="C18" s="9">
        <v>164423</v>
      </c>
      <c r="D18" s="9">
        <v>417600</v>
      </c>
      <c r="E18" s="9">
        <v>145030</v>
      </c>
      <c r="F18" s="22">
        <f t="shared" si="0"/>
        <v>0.22614995055381107</v>
      </c>
      <c r="G18" s="22">
        <f t="shared" si="1"/>
        <v>0.57437353260353785</v>
      </c>
      <c r="H18" s="22">
        <f t="shared" si="2"/>
        <v>0.19947651684265108</v>
      </c>
    </row>
    <row r="19" spans="1:8" x14ac:dyDescent="0.3">
      <c r="A19" s="1" t="s">
        <v>28</v>
      </c>
      <c r="B19" s="24">
        <f t="shared" ref="B19:B21" si="3">C19+D19+E19</f>
        <v>1430117</v>
      </c>
      <c r="C19" s="9">
        <v>435038</v>
      </c>
      <c r="D19" s="9">
        <v>873793</v>
      </c>
      <c r="E19" s="9">
        <v>121286</v>
      </c>
      <c r="F19" s="22">
        <f t="shared" si="0"/>
        <v>0.30419748873693553</v>
      </c>
      <c r="G19" s="22">
        <f t="shared" si="1"/>
        <v>0.61099406552051339</v>
      </c>
      <c r="H19" s="22">
        <f t="shared" si="2"/>
        <v>8.4808445742551128E-2</v>
      </c>
    </row>
    <row r="20" spans="1:8" x14ac:dyDescent="0.3">
      <c r="A20" s="1" t="s">
        <v>29</v>
      </c>
      <c r="B20" s="24">
        <f t="shared" si="3"/>
        <v>2228677</v>
      </c>
      <c r="C20" s="9">
        <v>606398</v>
      </c>
      <c r="D20" s="9">
        <v>1355308</v>
      </c>
      <c r="E20" s="9">
        <v>266971</v>
      </c>
      <c r="F20" s="22">
        <f t="shared" si="0"/>
        <v>0.27208877733291992</v>
      </c>
      <c r="G20" s="22">
        <f t="shared" si="1"/>
        <v>0.60812221780006703</v>
      </c>
      <c r="H20" s="22">
        <f t="shared" si="2"/>
        <v>0.11978900486701304</v>
      </c>
    </row>
    <row r="21" spans="1:8" x14ac:dyDescent="0.3">
      <c r="A21" s="1" t="s">
        <v>30</v>
      </c>
      <c r="B21" s="24">
        <f t="shared" si="3"/>
        <v>1222066</v>
      </c>
      <c r="C21" s="9">
        <v>456347</v>
      </c>
      <c r="D21" s="9">
        <v>672443</v>
      </c>
      <c r="E21" s="9">
        <v>93276</v>
      </c>
      <c r="F21" s="22">
        <f t="shared" si="0"/>
        <v>0.37342254837300115</v>
      </c>
      <c r="G21" s="22">
        <f t="shared" si="1"/>
        <v>0.5502509684419663</v>
      </c>
      <c r="H21" s="22">
        <f t="shared" si="2"/>
        <v>7.6326483185032559E-2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3.1</vt:lpstr>
      <vt:lpstr>3.2</vt:lpstr>
      <vt:lpstr>3.3</vt:lpstr>
      <vt:lpstr>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2024-06-26T11:33:46Z</dcterms:created>
  <dcterms:modified xsi:type="dcterms:W3CDTF">2026-03-05T17:11:24Z</dcterms:modified>
</cp:coreProperties>
</file>